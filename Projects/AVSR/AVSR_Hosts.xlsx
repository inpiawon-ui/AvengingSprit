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n\UnityProject\AvengingSprit\Projects\AVSR\"/>
    </mc:Choice>
  </mc:AlternateContent>
  <xr:revisionPtr revIDLastSave="0" documentId="13_ncr:1_{4872E6CD-B18C-497D-B279-A48F77E4CE9F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캐릭터" sheetId="1" r:id="rId1"/>
    <sheet name="속성 요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" l="1"/>
  <c r="M7" i="2"/>
  <c r="L7" i="2"/>
  <c r="K7" i="2"/>
  <c r="J7" i="2"/>
  <c r="I7" i="2"/>
  <c r="H7" i="2"/>
  <c r="G7" i="2"/>
  <c r="F7" i="2"/>
  <c r="E7" i="2"/>
  <c r="N6" i="2"/>
  <c r="M6" i="2"/>
  <c r="L6" i="2"/>
  <c r="K6" i="2"/>
  <c r="J6" i="2"/>
  <c r="I6" i="2"/>
  <c r="H6" i="2"/>
  <c r="G6" i="2"/>
  <c r="F6" i="2"/>
  <c r="E6" i="2"/>
  <c r="N5" i="2"/>
  <c r="M5" i="2"/>
  <c r="L5" i="2"/>
  <c r="K5" i="2"/>
  <c r="J5" i="2"/>
  <c r="I5" i="2"/>
  <c r="H5" i="2"/>
  <c r="G5" i="2"/>
  <c r="F5" i="2"/>
  <c r="E5" i="2"/>
  <c r="R30" i="1"/>
  <c r="R29" i="1"/>
  <c r="R28" i="1"/>
  <c r="R27" i="1"/>
  <c r="R26" i="1"/>
  <c r="R25" i="1"/>
  <c r="R24" i="1"/>
  <c r="R23" i="1"/>
  <c r="Q22" i="1"/>
  <c r="P22" i="1"/>
  <c r="R22" i="1" s="1"/>
  <c r="N22" i="1"/>
  <c r="M22" i="1"/>
  <c r="L22" i="1"/>
  <c r="K22" i="1"/>
  <c r="J22" i="1"/>
  <c r="I22" i="1"/>
  <c r="H22" i="1"/>
  <c r="G22" i="1"/>
  <c r="C22" i="1"/>
  <c r="D7" i="2" s="1"/>
  <c r="R21" i="1"/>
  <c r="R20" i="1"/>
  <c r="R19" i="1"/>
  <c r="R18" i="1"/>
  <c r="R17" i="1"/>
  <c r="R16" i="1"/>
  <c r="R15" i="1"/>
  <c r="Q14" i="1"/>
  <c r="P14" i="1"/>
  <c r="R14" i="1" s="1"/>
  <c r="N14" i="1"/>
  <c r="M14" i="1"/>
  <c r="L14" i="1"/>
  <c r="K14" i="1"/>
  <c r="J14" i="1"/>
  <c r="I14" i="1"/>
  <c r="H14" i="1"/>
  <c r="G14" i="1"/>
  <c r="C14" i="1"/>
  <c r="D6" i="2" s="1"/>
  <c r="R13" i="1"/>
  <c r="R12" i="1"/>
  <c r="R11" i="1"/>
  <c r="R10" i="1"/>
  <c r="R9" i="1"/>
  <c r="R8" i="1"/>
  <c r="R7" i="1"/>
  <c r="R6" i="1"/>
  <c r="Q5" i="1"/>
  <c r="P5" i="1"/>
  <c r="R5" i="1" s="1"/>
  <c r="N5" i="1"/>
  <c r="M5" i="1"/>
  <c r="L5" i="1"/>
  <c r="K5" i="1"/>
  <c r="J5" i="1"/>
  <c r="I5" i="1"/>
  <c r="H5" i="1"/>
  <c r="G5" i="1"/>
  <c r="C5" i="1"/>
  <c r="D5" i="2" s="1"/>
  <c r="E8" i="2" l="1"/>
  <c r="F8" i="2"/>
  <c r="G8" i="2"/>
  <c r="M8" i="2"/>
  <c r="N8" i="2"/>
  <c r="D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AVSR</author>
  </authors>
  <commentList>
    <comment ref="H4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초당 피해 = 공격 등급의 값. 한 방 = 초당 피해 ÷ 초당 횟수.</t>
        </r>
      </text>
    </comment>
    <comment ref="L4" authorId="0" shapeId="0" xr:uid="{00000000-0006-0000-0000-000002000000}">
      <text>
        <r>
          <rPr>
            <sz val="11"/>
            <color theme="1"/>
            <rFont val="맑은 고딕"/>
            <family val="2"/>
            <scheme val="minor"/>
          </rPr>
          <t>근거리 몸(근접 · 광역)은 지금 평타에서 치명타를 안 굴린다.</t>
        </r>
      </text>
    </comment>
    <comment ref="P4" authorId="0" shapeId="0" xr:uid="{00000000-0006-0000-0000-000003000000}">
      <text>
        <r>
          <rPr>
            <sz val="11"/>
            <color theme="1"/>
            <rFont val="맑은 고딕"/>
            <family val="2"/>
            <scheme val="minor"/>
          </rPr>
          <t>방 배치 110칸(10챕터 × 전투방 11)에 빼앗을 몸으로 선 횟수.</t>
        </r>
      </text>
    </comment>
    <comment ref="Q4" authorId="0" shapeId="0" xr:uid="{00000000-0006-0000-0000-000004000000}">
      <text>
        <r>
          <rPr>
            <sz val="11"/>
            <color theme="1"/>
            <rFont val="맑은 고딕"/>
            <family val="2"/>
            <scheme val="minor"/>
          </rPr>
          <t>그 방에 가장 많은 적의 속성을 이기는 몸으로 선 횟수.</t>
        </r>
      </text>
    </comment>
  </commentList>
</comments>
</file>

<file path=xl/sharedStrings.xml><?xml version="1.0" encoding="utf-8"?>
<sst xmlns="http://schemas.openxmlformats.org/spreadsheetml/2006/main" count="330" uniqueCount="232">
  <si>
    <t>AVSR 캐릭터(호스트) — 속성별</t>
  </si>
  <si>
    <t>힘 → 날 → 술 → 힘 (이기는 쪽을 때리면 피해 +30%, 지는 쪽은 −30%). 각 속성 머리줄의 [-] 를 누르면 접힌다. 값은 게임 표(HostTable · GameConfig · 스킬 표 · 방 110칸)에서 뽑았다 — 2026-10-06.</t>
  </si>
  <si>
    <t>속성</t>
  </si>
  <si>
    <t>이름</t>
  </si>
  <si>
    <t>키</t>
  </si>
  <si>
    <t>등급</t>
  </si>
  <si>
    <t>직업</t>
  </si>
  <si>
    <t>공격 방식</t>
  </si>
  <si>
    <t>체력</t>
  </si>
  <si>
    <t>초당 피해</t>
  </si>
  <si>
    <t>한 방</t>
  </si>
  <si>
    <t>초당 횟수</t>
  </si>
  <si>
    <t>이동(m/s)</t>
  </si>
  <si>
    <t>치명타</t>
  </si>
  <si>
    <t>방어</t>
  </si>
  <si>
    <t>사거리(m)</t>
  </si>
  <si>
    <t>데뷔 챕터</t>
  </si>
  <si>
    <t>방 등장</t>
  </si>
  <si>
    <t>답 횟수</t>
  </si>
  <si>
    <t>답 비율</t>
  </si>
  <si>
    <t>액티브</t>
  </si>
  <si>
    <t>액티브 설명</t>
  </si>
  <si>
    <t>패시브</t>
  </si>
  <si>
    <t>패시브 설명</t>
  </si>
  <si>
    <t>역할</t>
  </si>
  <si>
    <t>비고</t>
  </si>
  <si>
    <t>날</t>
  </si>
  <si>
    <t>날 — 술을(를) 이긴다 · 힘에 진다</t>
  </si>
  <si>
    <t>잡몹: 박쥐 · 순찰기 · 폐품 사수</t>
  </si>
  <si>
    <t>보스: 파이썬 · 킹핀</t>
  </si>
  <si>
    <t>갱스터</t>
  </si>
  <si>
    <t>gangster</t>
  </si>
  <si>
    <t>B</t>
  </si>
  <si>
    <t>원거리</t>
  </si>
  <si>
    <t>단발</t>
  </si>
  <si>
    <t>일제 표식</t>
  </si>
  <si>
    <t>방 안 모든 적에게 3초 표식</t>
  </si>
  <si>
    <t>처형 계약</t>
  </si>
  <si>
    <t>표식 붙은 적을 20% 로 즉사(엘리트 체력 50% · 보스 30% 한 방)</t>
  </si>
  <si>
    <t>저격수 · 보스 사냥꾼</t>
  </si>
  <si>
    <t>시작 몸</t>
  </si>
  <si>
    <t>호퍼</t>
  </si>
  <si>
    <t>hopper</t>
  </si>
  <si>
    <t>정조준</t>
  </si>
  <si>
    <t>5초간 치명타 확률 90%</t>
  </si>
  <si>
    <t>급소</t>
  </si>
  <si>
    <t>치명타 피해 +30%</t>
  </si>
  <si>
    <t>치명타 특화</t>
  </si>
  <si>
    <t>닌자</t>
  </si>
  <si>
    <t>ninja</t>
  </si>
  <si>
    <t>A</t>
  </si>
  <si>
    <t>그림자 분신</t>
  </si>
  <si>
    <t>5초간 적이 전부 분신을 노린다</t>
  </si>
  <si>
    <t>질주</t>
  </si>
  <si>
    <t>잡으면 1.5초 이동 +30%</t>
  </si>
  <si>
    <t>어그로 빼기</t>
  </si>
  <si>
    <t>폭력배</t>
  </si>
  <si>
    <t>thug</t>
  </si>
  <si>
    <t>중거리</t>
  </si>
  <si>
    <t>난사</t>
  </si>
  <si>
    <t>1초간 3방향</t>
  </si>
  <si>
    <t>삥</t>
  </si>
  <si>
    <t>주운 골드 +10%</t>
  </si>
  <si>
    <t>파밍</t>
  </si>
  <si>
    <t>호퍼(기관단총)</t>
  </si>
  <si>
    <t>hopper_smg</t>
  </si>
  <si>
    <t>연사</t>
  </si>
  <si>
    <t>도약 강습</t>
  </si>
  <si>
    <t>가장 먼 적에게 뛰어들고 2초 무적</t>
  </si>
  <si>
    <t>충격 반동</t>
  </si>
  <si>
    <t>10% 로 밀어낸다</t>
  </si>
  <si>
    <t>기동 연사</t>
  </si>
  <si>
    <t>코만도(기관총)</t>
  </si>
  <si>
    <t>commando_mg</t>
  </si>
  <si>
    <t>방벽 전개</t>
  </si>
  <si>
    <t>5초간 최대 체력만큼 쉴드</t>
  </si>
  <si>
    <t>중장갑</t>
  </si>
  <si>
    <t>방어 +20%</t>
  </si>
  <si>
    <t>버티는 연사</t>
  </si>
  <si>
    <t>아마존</t>
  </si>
  <si>
    <t>amazon</t>
  </si>
  <si>
    <t>근거리</t>
  </si>
  <si>
    <t>근접</t>
  </si>
  <si>
    <t>도약 강타</t>
  </si>
  <si>
    <t>가장 가까운 적에게 뛰어들어 둘레 300%</t>
  </si>
  <si>
    <t>쉴드 질주</t>
  </si>
  <si>
    <t>쉴드가 찰수록 빨라진다(최대 +40%)</t>
  </si>
  <si>
    <t>돌격</t>
  </si>
  <si>
    <t>평타 치명타 없음</t>
  </si>
  <si>
    <t>아마존 정예</t>
  </si>
  <si>
    <t>amazon_elite</t>
  </si>
  <si>
    <t>(미정)</t>
  </si>
  <si>
    <t>스킬 보류</t>
  </si>
  <si>
    <t>역전의 자세</t>
  </si>
  <si>
    <t>쉴드가 남은 동안 공격력이 오른다</t>
  </si>
  <si>
    <t>—</t>
  </si>
  <si>
    <t>숨김(게임에 안 나온다)</t>
  </si>
  <si>
    <t>힘</t>
  </si>
  <si>
    <t>힘 — 날을(를) 이긴다 · 술에 진다</t>
  </si>
  <si>
    <t>잡몹: 집행자 · 십자 포탑</t>
  </si>
  <si>
    <t>보스: 로봇 스네이크 · 크러셔 · 가디언</t>
  </si>
  <si>
    <t>코만도(미사일)</t>
  </si>
  <si>
    <t>commando_missile</t>
  </si>
  <si>
    <t>다중 유도</t>
  </si>
  <si>
    <t>8발이 한 대상으로</t>
  </si>
  <si>
    <t>고폭탄</t>
  </si>
  <si>
    <t>지형 무시</t>
  </si>
  <si>
    <t>한 방이 가장 무겁다 · 단단한 한 놈</t>
  </si>
  <si>
    <t>코만도(레이저)</t>
  </si>
  <si>
    <t>commando_laser</t>
  </si>
  <si>
    <t>관통</t>
  </si>
  <si>
    <t>연쇄 방전</t>
  </si>
  <si>
    <t>3초간 주변 적에게 전기가 튄다</t>
  </si>
  <si>
    <t>집속 광선</t>
  </si>
  <si>
    <t>지형을 무시하고 관통</t>
  </si>
  <si>
    <t>줄 선 적을 벽 너머로</t>
  </si>
  <si>
    <t>로봇</t>
  </si>
  <si>
    <t>robot</t>
  </si>
  <si>
    <t>포탑 전개</t>
  </si>
  <si>
    <t>10초간 자동 포탑</t>
  </si>
  <si>
    <t>예비 회로</t>
  </si>
  <si>
    <t>평타가 2% 로 액티브 쿨 −1초</t>
  </si>
  <si>
    <t>체력 1위 원거리 · 포탑과 둘이</t>
  </si>
  <si>
    <t>코만도(수류탄)</t>
  </si>
  <si>
    <t>commando_grenade</t>
  </si>
  <si>
    <t>확산</t>
  </si>
  <si>
    <t>융단 폭격</t>
  </si>
  <si>
    <t>수류탄 5발 부채꼴</t>
  </si>
  <si>
    <t>파편탄</t>
  </si>
  <si>
    <t>상대 방어 50% 무시</t>
  </si>
  <si>
    <t>뭉친 떼 · 단단한 적</t>
  </si>
  <si>
    <t>구루</t>
  </si>
  <si>
    <t>guru</t>
  </si>
  <si>
    <t>광역</t>
  </si>
  <si>
    <t>수호 결계</t>
  </si>
  <si>
    <t>3초간 받는 피해 −50% · 쉴드 2배</t>
  </si>
  <si>
    <t>무형보</t>
  </si>
  <si>
    <t>걸을 때 지형 통과</t>
  </si>
  <si>
    <t>가장 단단한 몸</t>
  </si>
  <si>
    <t>닌자(사슬)</t>
  </si>
  <si>
    <t>ninja_chain</t>
  </si>
  <si>
    <t>사슬 결박</t>
  </si>
  <si>
    <t>방 안 모든 적 5초 묶음 · 묶인 적은 더 아프다</t>
  </si>
  <si>
    <t>흘리기</t>
  </si>
  <si>
    <t>10% 로 피해를 통째로 흘린다</t>
  </si>
  <si>
    <t>방 전체를 세운다</t>
  </si>
  <si>
    <t>슬러거</t>
  </si>
  <si>
    <t>baseball</t>
  </si>
  <si>
    <t>전탄 반사</t>
  </si>
  <si>
    <t>5초간 탄을 되받아친다(더 아프게)</t>
  </si>
  <si>
    <t>장외 타구</t>
  </si>
  <si>
    <t>막타에 20% 로 주변을 날린다</t>
  </si>
  <si>
    <t>탄막 방의 답</t>
  </si>
  <si>
    <t>술</t>
  </si>
  <si>
    <t>술 — 힘을(를) 이긴다 · 날에 진다</t>
  </si>
  <si>
    <t>잡몹: 해골 · 코일 보행기</t>
  </si>
  <si>
    <t>보스: 슬러지</t>
  </si>
  <si>
    <t>화이트 위저드</t>
  </si>
  <si>
    <t>white_wizard</t>
  </si>
  <si>
    <t>광휘 확산</t>
  </si>
  <si>
    <t>8방향 광탄</t>
  </si>
  <si>
    <t>관통 광선</t>
  </si>
  <si>
    <t>지형 무시 관통</t>
  </si>
  <si>
    <t>둘러싸였을 때 · 줄 선 적</t>
  </si>
  <si>
    <t>설녀</t>
  </si>
  <si>
    <t>snowwoman</t>
  </si>
  <si>
    <t>얼음 감옥</t>
  </si>
  <si>
    <t>1초간 무적 + 체력 30% 회복</t>
  </si>
  <si>
    <t>서릿발</t>
  </si>
  <si>
    <t>30% 로 빙결 · 언 적은 더 아프다(보스 제외)</t>
  </si>
  <si>
    <t>버티기 · 묶기</t>
  </si>
  <si>
    <t>청룡</t>
  </si>
  <si>
    <t>dragon_blue</t>
  </si>
  <si>
    <t>뇌전 폭주</t>
  </si>
  <si>
    <t>2초간 번개 튕김 확정</t>
  </si>
  <si>
    <t>낙뢰</t>
  </si>
  <si>
    <t>10% 로 옆 적에게 번개</t>
  </si>
  <si>
    <t>뭉친 적 사이로 튕긴다</t>
  </si>
  <si>
    <t>영매</t>
  </si>
  <si>
    <t>medium</t>
  </si>
  <si>
    <t>골렘 소환</t>
  </si>
  <si>
    <t>골렘이 함께 싸운다</t>
  </si>
  <si>
    <t>강령</t>
  </si>
  <si>
    <t>잡으면 30% 로 해골이 일어선다</t>
  </si>
  <si>
    <t>소환사 · 머릿수로 싸운다</t>
  </si>
  <si>
    <t>샐러맨더</t>
  </si>
  <si>
    <t>salamander</t>
  </si>
  <si>
    <t>독 뿜기</t>
  </si>
  <si>
    <t>둘레 5 m 의 적을 모두 중독(아프고 느려진다)</t>
  </si>
  <si>
    <t>독니</t>
  </si>
  <si>
    <t>10% 로 독</t>
  </si>
  <si>
    <t>술의 기본 · 떼를 늦춘다</t>
  </si>
  <si>
    <t>드라군</t>
  </si>
  <si>
    <t>dragoon</t>
  </si>
  <si>
    <t>화염 지대</t>
  </si>
  <si>
    <t>가장 가까운 적 발밑에 불바다</t>
  </si>
  <si>
    <t>불씨</t>
  </si>
  <si>
    <t>10% 로 화상</t>
  </si>
  <si>
    <t>자리를 태운다</t>
  </si>
  <si>
    <t>흡혈귀</t>
  </si>
  <si>
    <t>vampire</t>
  </si>
  <si>
    <t>혈연</t>
  </si>
  <si>
    <t>화면의 적 머릿수 × 최대 체력 2% 회복</t>
  </si>
  <si>
    <t>흡혈</t>
  </si>
  <si>
    <t>8% 로 공격력 5% 회복</t>
  </si>
  <si>
    <t>적이 많을수록 산다</t>
  </si>
  <si>
    <t>사신</t>
  </si>
  <si>
    <t>death</t>
  </si>
  <si>
    <t>S</t>
  </si>
  <si>
    <t>사신의 시간</t>
  </si>
  <si>
    <t>3초간 때리는 적이 죽는다(중간보스 절반 · 보스 열에 하나)</t>
  </si>
  <si>
    <t>망자 소집</t>
  </si>
  <si>
    <t>잡을 때마다 해골이 일어선다</t>
  </si>
  <si>
    <t>판을 뒤집는 한 수</t>
  </si>
  <si>
    <t>유일한 S · 평타 치명타 없음</t>
  </si>
  <si>
    <t>읽는 법</t>
  </si>
  <si>
    <t>속성 머리줄의 숫자 = 그 속성 몸의 평균(숨긴 몸 제외) · 방 등장 · 답 횟수는 합계.</t>
  </si>
  <si>
    <t>직업: 근거리(근접 · 광역) · 중거리(사거리 6 m 이하) · 원거리. 사거리 강화는 직업별 +1% · +0.5% · +0.3% / Lv, 상한 2.8 · 5.9 · 9.5 m.</t>
  </si>
  <si>
    <t>등급: B 해금 조각 6 · A 10 · S 14 / 입장료(1챕터) B 60 · A 120 · S 200 골드.</t>
  </si>
  <si>
    <t>데뷔 챕터 = 방에 처음 서는 챕터. 아마존 정예는 숨겨 두어 게임에 안 나온다(스킬 미정).</t>
  </si>
  <si>
    <t>속성 요약</t>
  </si>
  <si>
    <t>모든 숫자는 「캐릭터」 시트를 공식으로 읽는다(숨긴 몸 제외). 캐릭터 시트를 고치면 따라 바뀐다.</t>
  </si>
  <si>
    <t>이긴다</t>
  </si>
  <si>
    <t>진다</t>
  </si>
  <si>
    <t>몸 수</t>
  </si>
  <si>
    <t>평균 체력</t>
  </si>
  <si>
    <t>평균 초당 피해</t>
  </si>
  <si>
    <t>평균 이동</t>
  </si>
  <si>
    <t>평균 치명타</t>
  </si>
  <si>
    <t>평균 방어</t>
  </si>
  <si>
    <t>합계</t>
  </si>
  <si>
    <t>몸 수에서 속성 머리줄 하나를 빼려고 −1 을 한다(머리줄도 C 칸에 값이 있다).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</si>
</sst>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 x14ac:knownFonts="1">
    <font>
      <sz val="11"/>
      <color theme="1"/>
      <name val="맑은 고딕"/>
      <family val="2"/>
      <scheme val="minor"/>
    </font>
    <font>
      <b/>
      <sz val="14"/>
      <name val="Arial"/>
    </font>
    <font>
      <sz val="9"/>
      <color rgb="FF5A6070"/>
      <name val="Arial"/>
    </font>
    <font>
      <b/>
      <sz val="11"/>
      <color rgb="FFFFFFFF"/>
      <name val="Arial"/>
    </font>
    <font>
      <b/>
      <sz val="11"/>
      <name val="Arial"/>
    </font>
    <font>
      <sz val="11"/>
      <color rgb="FF000000"/>
      <name val="Arial"/>
    </font>
    <font>
      <sz val="11"/>
      <name val="Arial"/>
    </font>
    <font>
      <sz val="11"/>
      <color rgb="FF8A8F99"/>
      <name val="Arial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3440"/>
      </patternFill>
    </fill>
    <fill>
      <patternFill patternType="solid">
        <fgColor rgb="FFF6D365"/>
      </patternFill>
    </fill>
    <fill>
      <patternFill patternType="solid">
        <fgColor rgb="FFF4A27A"/>
      </patternFill>
    </fill>
    <fill>
      <patternFill patternType="solid">
        <fgColor rgb="FFB9A3E3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1" fontId="4" fillId="4" borderId="1" xfId="0" applyNumberFormat="1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1" fontId="4" fillId="5" borderId="1" xfId="0" applyNumberFormat="1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9" fontId="4" fillId="5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36"/>
  <sheetViews>
    <sheetView tabSelected="1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 outlineLevelRow="1" x14ac:dyDescent="0.3"/>
  <cols>
    <col min="1" max="1" width="6" customWidth="1"/>
    <col min="2" max="2" width="15" customWidth="1"/>
    <col min="3" max="3" width="17" customWidth="1"/>
    <col min="4" max="4" width="6" customWidth="1"/>
    <col min="5" max="5" width="8" customWidth="1"/>
    <col min="6" max="6" width="9" customWidth="1"/>
    <col min="7" max="7" width="7" customWidth="1"/>
    <col min="8" max="8" width="9" customWidth="1"/>
    <col min="9" max="9" width="7" customWidth="1"/>
    <col min="10" max="11" width="9" customWidth="1"/>
    <col min="12" max="13" width="8" customWidth="1"/>
    <col min="14" max="15" width="9" customWidth="1"/>
    <col min="16" max="18" width="8" customWidth="1"/>
    <col min="19" max="19" width="12" customWidth="1"/>
    <col min="20" max="20" width="38" customWidth="1"/>
    <col min="21" max="21" width="11" customWidth="1"/>
    <col min="22" max="22" width="36" customWidth="1"/>
    <col min="23" max="23" width="26" customWidth="1"/>
    <col min="24" max="24" width="22" customWidth="1"/>
  </cols>
  <sheetData>
    <row r="1" spans="1:24" ht="18.75" x14ac:dyDescent="0.3">
      <c r="A1" s="1" t="s">
        <v>0</v>
      </c>
    </row>
    <row r="2" spans="1:24" x14ac:dyDescent="0.3">
      <c r="A2" s="2" t="s">
        <v>1</v>
      </c>
    </row>
    <row r="4" spans="1:24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</row>
    <row r="5" spans="1:24" ht="45" x14ac:dyDescent="0.3">
      <c r="A5" s="4" t="s">
        <v>26</v>
      </c>
      <c r="B5" s="5" t="s">
        <v>27</v>
      </c>
      <c r="C5" s="4" t="str">
        <f>COUNTIFS(X6:X13,"&lt;&gt;숨김*")&amp;"명"</f>
        <v>7명</v>
      </c>
      <c r="D5" s="4"/>
      <c r="E5" s="4"/>
      <c r="F5" s="4"/>
      <c r="G5" s="6">
        <f t="shared" ref="G5:N5" si="0">AVERAGEIFS(G6:G13,$X$6:$X$13,"&lt;&gt;숨김*")</f>
        <v>166.42857142857142</v>
      </c>
      <c r="H5" s="7">
        <f t="shared" si="0"/>
        <v>37.085714285714289</v>
      </c>
      <c r="I5" s="6">
        <f t="shared" si="0"/>
        <v>10.142857142857142</v>
      </c>
      <c r="J5" s="8">
        <f t="shared" si="0"/>
        <v>3.8457142857142861</v>
      </c>
      <c r="K5" s="8">
        <f t="shared" si="0"/>
        <v>4.54</v>
      </c>
      <c r="L5" s="9">
        <f t="shared" si="0"/>
        <v>0.16999999999999998</v>
      </c>
      <c r="M5" s="9">
        <f t="shared" si="0"/>
        <v>0.12857142857142856</v>
      </c>
      <c r="N5" s="7">
        <f t="shared" si="0"/>
        <v>5.7857142857142856</v>
      </c>
      <c r="O5" s="6"/>
      <c r="P5" s="4">
        <f>SUM(P6:P13)</f>
        <v>61</v>
      </c>
      <c r="Q5" s="4">
        <f>SUM(Q6:Q13)</f>
        <v>38</v>
      </c>
      <c r="R5" s="9">
        <f t="shared" ref="R5:R30" si="1">IF(P5=0,0,Q5/P5)</f>
        <v>0.62295081967213117</v>
      </c>
      <c r="S5" s="5" t="s">
        <v>28</v>
      </c>
      <c r="T5" s="5"/>
      <c r="U5" s="5" t="s">
        <v>29</v>
      </c>
      <c r="V5" s="5"/>
      <c r="W5" s="5"/>
      <c r="X5" s="5"/>
    </row>
    <row r="6" spans="1:24" ht="28.5" outlineLevel="1" x14ac:dyDescent="0.3">
      <c r="A6" s="10" t="s">
        <v>26</v>
      </c>
      <c r="B6" s="11" t="s">
        <v>30</v>
      </c>
      <c r="C6" s="11" t="s">
        <v>31</v>
      </c>
      <c r="D6" s="10" t="s">
        <v>32</v>
      </c>
      <c r="E6" s="10" t="s">
        <v>33</v>
      </c>
      <c r="F6" s="10" t="s">
        <v>34</v>
      </c>
      <c r="G6" s="12">
        <v>165</v>
      </c>
      <c r="H6" s="13">
        <v>37.4</v>
      </c>
      <c r="I6" s="12">
        <v>13</v>
      </c>
      <c r="J6" s="14">
        <v>2.8</v>
      </c>
      <c r="K6" s="14">
        <v>4.54</v>
      </c>
      <c r="L6" s="15">
        <v>0.23</v>
      </c>
      <c r="M6" s="15">
        <v>0.09</v>
      </c>
      <c r="N6" s="13">
        <v>7.5</v>
      </c>
      <c r="O6" s="12">
        <v>1</v>
      </c>
      <c r="P6" s="10">
        <v>8</v>
      </c>
      <c r="Q6" s="10">
        <v>7</v>
      </c>
      <c r="R6" s="16">
        <f t="shared" si="1"/>
        <v>0.875</v>
      </c>
      <c r="S6" s="11" t="s">
        <v>35</v>
      </c>
      <c r="T6" s="11" t="s">
        <v>36</v>
      </c>
      <c r="U6" s="11" t="s">
        <v>37</v>
      </c>
      <c r="V6" s="11" t="s">
        <v>38</v>
      </c>
      <c r="W6" s="11" t="s">
        <v>39</v>
      </c>
      <c r="X6" s="11" t="s">
        <v>40</v>
      </c>
    </row>
    <row r="7" spans="1:24" outlineLevel="1" x14ac:dyDescent="0.3">
      <c r="A7" s="10" t="s">
        <v>26</v>
      </c>
      <c r="B7" s="11" t="s">
        <v>41</v>
      </c>
      <c r="C7" s="11" t="s">
        <v>42</v>
      </c>
      <c r="D7" s="10" t="s">
        <v>32</v>
      </c>
      <c r="E7" s="10" t="s">
        <v>33</v>
      </c>
      <c r="F7" s="10" t="s">
        <v>34</v>
      </c>
      <c r="G7" s="12">
        <v>165</v>
      </c>
      <c r="H7" s="13">
        <v>37.4</v>
      </c>
      <c r="I7" s="12">
        <v>13</v>
      </c>
      <c r="J7" s="14">
        <v>2.8</v>
      </c>
      <c r="K7" s="14">
        <v>4.76</v>
      </c>
      <c r="L7" s="15">
        <v>0.28999999999999998</v>
      </c>
      <c r="M7" s="15">
        <v>0.06</v>
      </c>
      <c r="N7" s="13">
        <v>7.8</v>
      </c>
      <c r="O7" s="12">
        <v>1</v>
      </c>
      <c r="P7" s="10">
        <v>9</v>
      </c>
      <c r="Q7" s="10">
        <v>3</v>
      </c>
      <c r="R7" s="16">
        <f t="shared" si="1"/>
        <v>0.33333333333333331</v>
      </c>
      <c r="S7" s="11" t="s">
        <v>43</v>
      </c>
      <c r="T7" s="11" t="s">
        <v>44</v>
      </c>
      <c r="U7" s="11" t="s">
        <v>45</v>
      </c>
      <c r="V7" s="11" t="s">
        <v>46</v>
      </c>
      <c r="W7" s="11" t="s">
        <v>47</v>
      </c>
      <c r="X7" s="11"/>
    </row>
    <row r="8" spans="1:24" outlineLevel="1" x14ac:dyDescent="0.3">
      <c r="A8" s="10" t="s">
        <v>26</v>
      </c>
      <c r="B8" s="11" t="s">
        <v>48</v>
      </c>
      <c r="C8" s="11" t="s">
        <v>49</v>
      </c>
      <c r="D8" s="10" t="s">
        <v>50</v>
      </c>
      <c r="E8" s="10" t="s">
        <v>33</v>
      </c>
      <c r="F8" s="10" t="s">
        <v>34</v>
      </c>
      <c r="G8" s="12">
        <v>165</v>
      </c>
      <c r="H8" s="13">
        <v>39.6</v>
      </c>
      <c r="I8" s="12">
        <v>9</v>
      </c>
      <c r="J8" s="14">
        <v>4.17</v>
      </c>
      <c r="K8" s="14">
        <v>4.76</v>
      </c>
      <c r="L8" s="15">
        <v>0.23</v>
      </c>
      <c r="M8" s="15">
        <v>0.06</v>
      </c>
      <c r="N8" s="13">
        <v>7</v>
      </c>
      <c r="O8" s="12">
        <v>3</v>
      </c>
      <c r="P8" s="10">
        <v>8</v>
      </c>
      <c r="Q8" s="10">
        <v>7</v>
      </c>
      <c r="R8" s="16">
        <f t="shared" si="1"/>
        <v>0.875</v>
      </c>
      <c r="S8" s="11" t="s">
        <v>51</v>
      </c>
      <c r="T8" s="11" t="s">
        <v>52</v>
      </c>
      <c r="U8" s="11" t="s">
        <v>53</v>
      </c>
      <c r="V8" s="11" t="s">
        <v>54</v>
      </c>
      <c r="W8" s="11" t="s">
        <v>55</v>
      </c>
      <c r="X8" s="11"/>
    </row>
    <row r="9" spans="1:24" outlineLevel="1" x14ac:dyDescent="0.3">
      <c r="A9" s="10" t="s">
        <v>26</v>
      </c>
      <c r="B9" s="11" t="s">
        <v>56</v>
      </c>
      <c r="C9" s="11" t="s">
        <v>57</v>
      </c>
      <c r="D9" s="10" t="s">
        <v>32</v>
      </c>
      <c r="E9" s="10" t="s">
        <v>58</v>
      </c>
      <c r="F9" s="10" t="s">
        <v>34</v>
      </c>
      <c r="G9" s="12">
        <v>165</v>
      </c>
      <c r="H9" s="13">
        <v>35.200000000000003</v>
      </c>
      <c r="I9" s="12">
        <v>8</v>
      </c>
      <c r="J9" s="14">
        <v>4.17</v>
      </c>
      <c r="K9" s="14">
        <v>4.32</v>
      </c>
      <c r="L9" s="15">
        <v>0.11</v>
      </c>
      <c r="M9" s="15">
        <v>0.15</v>
      </c>
      <c r="N9" s="13">
        <v>5.8</v>
      </c>
      <c r="O9" s="12">
        <v>2</v>
      </c>
      <c r="P9" s="10">
        <v>7</v>
      </c>
      <c r="Q9" s="10">
        <v>3</v>
      </c>
      <c r="R9" s="16">
        <f t="shared" si="1"/>
        <v>0.42857142857142855</v>
      </c>
      <c r="S9" s="11" t="s">
        <v>59</v>
      </c>
      <c r="T9" s="11" t="s">
        <v>60</v>
      </c>
      <c r="U9" s="11" t="s">
        <v>61</v>
      </c>
      <c r="V9" s="11" t="s">
        <v>62</v>
      </c>
      <c r="W9" s="11" t="s">
        <v>63</v>
      </c>
      <c r="X9" s="11"/>
    </row>
    <row r="10" spans="1:24" outlineLevel="1" x14ac:dyDescent="0.3">
      <c r="A10" s="10" t="s">
        <v>26</v>
      </c>
      <c r="B10" s="11" t="s">
        <v>64</v>
      </c>
      <c r="C10" s="11" t="s">
        <v>65</v>
      </c>
      <c r="D10" s="10" t="s">
        <v>50</v>
      </c>
      <c r="E10" s="10" t="s">
        <v>58</v>
      </c>
      <c r="F10" s="10" t="s">
        <v>66</v>
      </c>
      <c r="G10" s="12">
        <v>165</v>
      </c>
      <c r="H10" s="13">
        <v>39.6</v>
      </c>
      <c r="I10" s="12">
        <v>8</v>
      </c>
      <c r="J10" s="14">
        <v>5.09</v>
      </c>
      <c r="K10" s="14">
        <v>4.76</v>
      </c>
      <c r="L10" s="15">
        <v>0.08</v>
      </c>
      <c r="M10" s="15">
        <v>0.09</v>
      </c>
      <c r="N10" s="13">
        <v>5.4</v>
      </c>
      <c r="O10" s="12">
        <v>2</v>
      </c>
      <c r="P10" s="10">
        <v>10</v>
      </c>
      <c r="Q10" s="10">
        <v>6</v>
      </c>
      <c r="R10" s="16">
        <f t="shared" si="1"/>
        <v>0.6</v>
      </c>
      <c r="S10" s="11" t="s">
        <v>67</v>
      </c>
      <c r="T10" s="11" t="s">
        <v>68</v>
      </c>
      <c r="U10" s="11" t="s">
        <v>69</v>
      </c>
      <c r="V10" s="11" t="s">
        <v>70</v>
      </c>
      <c r="W10" s="11" t="s">
        <v>71</v>
      </c>
      <c r="X10" s="11"/>
    </row>
    <row r="11" spans="1:24" outlineLevel="1" x14ac:dyDescent="0.3">
      <c r="A11" s="10" t="s">
        <v>26</v>
      </c>
      <c r="B11" s="11" t="s">
        <v>72</v>
      </c>
      <c r="C11" s="11" t="s">
        <v>73</v>
      </c>
      <c r="D11" s="10" t="s">
        <v>32</v>
      </c>
      <c r="E11" s="10" t="s">
        <v>58</v>
      </c>
      <c r="F11" s="10" t="s">
        <v>66</v>
      </c>
      <c r="G11" s="12">
        <v>165</v>
      </c>
      <c r="H11" s="13">
        <v>35.200000000000003</v>
      </c>
      <c r="I11" s="12">
        <v>7</v>
      </c>
      <c r="J11" s="14">
        <v>5.09</v>
      </c>
      <c r="K11" s="14">
        <v>4.32</v>
      </c>
      <c r="L11" s="15">
        <v>0.08</v>
      </c>
      <c r="M11" s="15">
        <v>0.27</v>
      </c>
      <c r="N11" s="13">
        <v>5.6</v>
      </c>
      <c r="O11" s="12">
        <v>2</v>
      </c>
      <c r="P11" s="10">
        <v>9</v>
      </c>
      <c r="Q11" s="10">
        <v>5</v>
      </c>
      <c r="R11" s="16">
        <f t="shared" si="1"/>
        <v>0.55555555555555558</v>
      </c>
      <c r="S11" s="11" t="s">
        <v>74</v>
      </c>
      <c r="T11" s="11" t="s">
        <v>75</v>
      </c>
      <c r="U11" s="11" t="s">
        <v>76</v>
      </c>
      <c r="V11" s="11" t="s">
        <v>77</v>
      </c>
      <c r="W11" s="11" t="s">
        <v>78</v>
      </c>
      <c r="X11" s="11"/>
    </row>
    <row r="12" spans="1:24" outlineLevel="1" x14ac:dyDescent="0.3">
      <c r="A12" s="10" t="s">
        <v>26</v>
      </c>
      <c r="B12" s="11" t="s">
        <v>79</v>
      </c>
      <c r="C12" s="11" t="s">
        <v>80</v>
      </c>
      <c r="D12" s="10" t="s">
        <v>32</v>
      </c>
      <c r="E12" s="10" t="s">
        <v>81</v>
      </c>
      <c r="F12" s="10" t="s">
        <v>82</v>
      </c>
      <c r="G12" s="12">
        <v>175</v>
      </c>
      <c r="H12" s="13">
        <v>35.200000000000003</v>
      </c>
      <c r="I12" s="12">
        <v>13</v>
      </c>
      <c r="J12" s="14">
        <v>2.8</v>
      </c>
      <c r="K12" s="14">
        <v>4.32</v>
      </c>
      <c r="L12" s="15">
        <v>0.17</v>
      </c>
      <c r="M12" s="15">
        <v>0.18</v>
      </c>
      <c r="N12" s="13">
        <v>1.4</v>
      </c>
      <c r="O12" s="12">
        <v>1</v>
      </c>
      <c r="P12" s="10">
        <v>10</v>
      </c>
      <c r="Q12" s="10">
        <v>7</v>
      </c>
      <c r="R12" s="16">
        <f t="shared" si="1"/>
        <v>0.7</v>
      </c>
      <c r="S12" s="11" t="s">
        <v>83</v>
      </c>
      <c r="T12" s="11" t="s">
        <v>84</v>
      </c>
      <c r="U12" s="11" t="s">
        <v>85</v>
      </c>
      <c r="V12" s="11" t="s">
        <v>86</v>
      </c>
      <c r="W12" s="11" t="s">
        <v>87</v>
      </c>
      <c r="X12" s="11" t="s">
        <v>88</v>
      </c>
    </row>
    <row r="13" spans="1:24" outlineLevel="1" x14ac:dyDescent="0.3">
      <c r="A13" s="17" t="s">
        <v>26</v>
      </c>
      <c r="B13" s="18" t="s">
        <v>89</v>
      </c>
      <c r="C13" s="18" t="s">
        <v>90</v>
      </c>
      <c r="D13" s="17" t="s">
        <v>50</v>
      </c>
      <c r="E13" s="17" t="s">
        <v>81</v>
      </c>
      <c r="F13" s="17" t="s">
        <v>82</v>
      </c>
      <c r="G13" s="19">
        <v>195</v>
      </c>
      <c r="H13" s="20">
        <v>37.4</v>
      </c>
      <c r="I13" s="19">
        <v>16</v>
      </c>
      <c r="J13" s="21">
        <v>2.2999999999999998</v>
      </c>
      <c r="K13" s="21">
        <v>4.32</v>
      </c>
      <c r="L13" s="22">
        <v>0.2</v>
      </c>
      <c r="M13" s="22">
        <v>0.27</v>
      </c>
      <c r="N13" s="20">
        <v>1.6</v>
      </c>
      <c r="O13" s="19">
        <v>5</v>
      </c>
      <c r="P13" s="17">
        <v>0</v>
      </c>
      <c r="Q13" s="17">
        <v>0</v>
      </c>
      <c r="R13" s="16">
        <f t="shared" si="1"/>
        <v>0</v>
      </c>
      <c r="S13" s="18" t="s">
        <v>91</v>
      </c>
      <c r="T13" s="18" t="s">
        <v>92</v>
      </c>
      <c r="U13" s="18" t="s">
        <v>93</v>
      </c>
      <c r="V13" s="18" t="s">
        <v>94</v>
      </c>
      <c r="W13" s="18" t="s">
        <v>95</v>
      </c>
      <c r="X13" s="18" t="s">
        <v>96</v>
      </c>
    </row>
    <row r="14" spans="1:24" ht="60" x14ac:dyDescent="0.3">
      <c r="A14" s="23" t="s">
        <v>97</v>
      </c>
      <c r="B14" s="24" t="s">
        <v>98</v>
      </c>
      <c r="C14" s="23" t="str">
        <f>COUNTIFS(X15:X21,"&lt;&gt;숨김*")&amp;"명"</f>
        <v>7명</v>
      </c>
      <c r="D14" s="23"/>
      <c r="E14" s="23"/>
      <c r="F14" s="23"/>
      <c r="G14" s="25">
        <f t="shared" ref="G14:N14" si="2">AVERAGEIFS(G15:G21,$X$15:$X$21,"&lt;&gt;숨김*")</f>
        <v>173.57142857142858</v>
      </c>
      <c r="H14" s="26">
        <f t="shared" si="2"/>
        <v>36.771428571428565</v>
      </c>
      <c r="I14" s="25">
        <f t="shared" si="2"/>
        <v>16</v>
      </c>
      <c r="J14" s="27">
        <f t="shared" si="2"/>
        <v>2.322857142857143</v>
      </c>
      <c r="K14" s="27">
        <f t="shared" si="2"/>
        <v>4.3514285714285714</v>
      </c>
      <c r="L14" s="28">
        <f t="shared" si="2"/>
        <v>0.19571428571428573</v>
      </c>
      <c r="M14" s="28">
        <f t="shared" si="2"/>
        <v>0.17142857142857143</v>
      </c>
      <c r="N14" s="26">
        <f t="shared" si="2"/>
        <v>5.4571428571428573</v>
      </c>
      <c r="O14" s="25"/>
      <c r="P14" s="23">
        <f>SUM(P15:P21)</f>
        <v>57</v>
      </c>
      <c r="Q14" s="23">
        <f>SUM(Q15:Q21)</f>
        <v>36</v>
      </c>
      <c r="R14" s="28">
        <f t="shared" si="1"/>
        <v>0.63157894736842102</v>
      </c>
      <c r="S14" s="24" t="s">
        <v>99</v>
      </c>
      <c r="T14" s="24"/>
      <c r="U14" s="24" t="s">
        <v>100</v>
      </c>
      <c r="V14" s="24"/>
      <c r="W14" s="24"/>
      <c r="X14" s="24"/>
    </row>
    <row r="15" spans="1:24" ht="28.5" outlineLevel="1" x14ac:dyDescent="0.3">
      <c r="A15" s="10" t="s">
        <v>97</v>
      </c>
      <c r="B15" s="11" t="s">
        <v>101</v>
      </c>
      <c r="C15" s="11" t="s">
        <v>102</v>
      </c>
      <c r="D15" s="10" t="s">
        <v>50</v>
      </c>
      <c r="E15" s="10" t="s">
        <v>33</v>
      </c>
      <c r="F15" s="10" t="s">
        <v>34</v>
      </c>
      <c r="G15" s="12">
        <v>165</v>
      </c>
      <c r="H15" s="13">
        <v>39.6</v>
      </c>
      <c r="I15" s="12">
        <v>21</v>
      </c>
      <c r="J15" s="14">
        <v>1.88</v>
      </c>
      <c r="K15" s="14">
        <v>4.32</v>
      </c>
      <c r="L15" s="15">
        <v>0.26</v>
      </c>
      <c r="M15" s="15">
        <v>0.15</v>
      </c>
      <c r="N15" s="13">
        <v>8.5</v>
      </c>
      <c r="O15" s="12">
        <v>5</v>
      </c>
      <c r="P15" s="10">
        <v>5</v>
      </c>
      <c r="Q15" s="10">
        <v>3</v>
      </c>
      <c r="R15" s="16">
        <f t="shared" si="1"/>
        <v>0.6</v>
      </c>
      <c r="S15" s="11" t="s">
        <v>103</v>
      </c>
      <c r="T15" s="11" t="s">
        <v>104</v>
      </c>
      <c r="U15" s="11" t="s">
        <v>105</v>
      </c>
      <c r="V15" s="11" t="s">
        <v>106</v>
      </c>
      <c r="W15" s="11" t="s">
        <v>107</v>
      </c>
      <c r="X15" s="11"/>
    </row>
    <row r="16" spans="1:24" outlineLevel="1" x14ac:dyDescent="0.3">
      <c r="A16" s="10" t="s">
        <v>97</v>
      </c>
      <c r="B16" s="11" t="s">
        <v>108</v>
      </c>
      <c r="C16" s="11" t="s">
        <v>109</v>
      </c>
      <c r="D16" s="10" t="s">
        <v>50</v>
      </c>
      <c r="E16" s="10" t="s">
        <v>33</v>
      </c>
      <c r="F16" s="10" t="s">
        <v>110</v>
      </c>
      <c r="G16" s="12">
        <v>175</v>
      </c>
      <c r="H16" s="13">
        <v>37.4</v>
      </c>
      <c r="I16" s="12">
        <v>16</v>
      </c>
      <c r="J16" s="14">
        <v>2.2999999999999998</v>
      </c>
      <c r="K16" s="14">
        <v>4.32</v>
      </c>
      <c r="L16" s="15">
        <v>0.2</v>
      </c>
      <c r="M16" s="15">
        <v>0.12</v>
      </c>
      <c r="N16" s="13">
        <v>8.1999999999999993</v>
      </c>
      <c r="O16" s="12">
        <v>4</v>
      </c>
      <c r="P16" s="10">
        <v>6</v>
      </c>
      <c r="Q16" s="10">
        <v>4</v>
      </c>
      <c r="R16" s="16">
        <f t="shared" si="1"/>
        <v>0.66666666666666663</v>
      </c>
      <c r="S16" s="11" t="s">
        <v>111</v>
      </c>
      <c r="T16" s="11" t="s">
        <v>112</v>
      </c>
      <c r="U16" s="11" t="s">
        <v>113</v>
      </c>
      <c r="V16" s="11" t="s">
        <v>114</v>
      </c>
      <c r="W16" s="11" t="s">
        <v>115</v>
      </c>
      <c r="X16" s="11"/>
    </row>
    <row r="17" spans="1:24" outlineLevel="1" x14ac:dyDescent="0.3">
      <c r="A17" s="10" t="s">
        <v>97</v>
      </c>
      <c r="B17" s="11" t="s">
        <v>116</v>
      </c>
      <c r="C17" s="11" t="s">
        <v>117</v>
      </c>
      <c r="D17" s="10" t="s">
        <v>50</v>
      </c>
      <c r="E17" s="10" t="s">
        <v>33</v>
      </c>
      <c r="F17" s="10" t="s">
        <v>110</v>
      </c>
      <c r="G17" s="12">
        <v>185</v>
      </c>
      <c r="H17" s="13">
        <v>35.200000000000003</v>
      </c>
      <c r="I17" s="12">
        <v>15</v>
      </c>
      <c r="J17" s="14">
        <v>2.2999999999999998</v>
      </c>
      <c r="K17" s="14">
        <v>4.0999999999999996</v>
      </c>
      <c r="L17" s="15">
        <v>0.11</v>
      </c>
      <c r="M17" s="15">
        <v>0.24</v>
      </c>
      <c r="N17" s="13">
        <v>8.1999999999999993</v>
      </c>
      <c r="O17" s="12">
        <v>2</v>
      </c>
      <c r="P17" s="10">
        <v>11</v>
      </c>
      <c r="Q17" s="10">
        <v>8</v>
      </c>
      <c r="R17" s="16">
        <f t="shared" si="1"/>
        <v>0.72727272727272729</v>
      </c>
      <c r="S17" s="11" t="s">
        <v>118</v>
      </c>
      <c r="T17" s="11" t="s">
        <v>119</v>
      </c>
      <c r="U17" s="11" t="s">
        <v>120</v>
      </c>
      <c r="V17" s="11" t="s">
        <v>121</v>
      </c>
      <c r="W17" s="11" t="s">
        <v>122</v>
      </c>
      <c r="X17" s="11"/>
    </row>
    <row r="18" spans="1:24" ht="28.5" outlineLevel="1" x14ac:dyDescent="0.3">
      <c r="A18" s="10" t="s">
        <v>97</v>
      </c>
      <c r="B18" s="11" t="s">
        <v>123</v>
      </c>
      <c r="C18" s="11" t="s">
        <v>124</v>
      </c>
      <c r="D18" s="10" t="s">
        <v>32</v>
      </c>
      <c r="E18" s="10" t="s">
        <v>33</v>
      </c>
      <c r="F18" s="10" t="s">
        <v>125</v>
      </c>
      <c r="G18" s="12">
        <v>165</v>
      </c>
      <c r="H18" s="13">
        <v>37.4</v>
      </c>
      <c r="I18" s="12">
        <v>20</v>
      </c>
      <c r="J18" s="14">
        <v>1.88</v>
      </c>
      <c r="K18" s="14">
        <v>4.32</v>
      </c>
      <c r="L18" s="15">
        <v>0.23</v>
      </c>
      <c r="M18" s="15">
        <v>0.09</v>
      </c>
      <c r="N18" s="13">
        <v>7.4</v>
      </c>
      <c r="O18" s="12">
        <v>1</v>
      </c>
      <c r="P18" s="10">
        <v>12</v>
      </c>
      <c r="Q18" s="10">
        <v>10</v>
      </c>
      <c r="R18" s="16">
        <f t="shared" si="1"/>
        <v>0.83333333333333337</v>
      </c>
      <c r="S18" s="11" t="s">
        <v>126</v>
      </c>
      <c r="T18" s="11" t="s">
        <v>127</v>
      </c>
      <c r="U18" s="11" t="s">
        <v>128</v>
      </c>
      <c r="V18" s="11" t="s">
        <v>129</v>
      </c>
      <c r="W18" s="11" t="s">
        <v>130</v>
      </c>
      <c r="X18" s="11"/>
    </row>
    <row r="19" spans="1:24" outlineLevel="1" x14ac:dyDescent="0.3">
      <c r="A19" s="10" t="s">
        <v>97</v>
      </c>
      <c r="B19" s="11" t="s">
        <v>131</v>
      </c>
      <c r="C19" s="11" t="s">
        <v>132</v>
      </c>
      <c r="D19" s="10" t="s">
        <v>32</v>
      </c>
      <c r="E19" s="10" t="s">
        <v>81</v>
      </c>
      <c r="F19" s="10" t="s">
        <v>133</v>
      </c>
      <c r="G19" s="12">
        <v>175</v>
      </c>
      <c r="H19" s="13">
        <v>33</v>
      </c>
      <c r="I19" s="12">
        <v>14</v>
      </c>
      <c r="J19" s="14">
        <v>2.2999999999999998</v>
      </c>
      <c r="K19" s="14">
        <v>4.54</v>
      </c>
      <c r="L19" s="15">
        <v>0.14000000000000001</v>
      </c>
      <c r="M19" s="15">
        <v>0.3</v>
      </c>
      <c r="N19" s="13">
        <v>2</v>
      </c>
      <c r="O19" s="12">
        <v>2</v>
      </c>
      <c r="P19" s="10">
        <v>10</v>
      </c>
      <c r="Q19" s="10">
        <v>5</v>
      </c>
      <c r="R19" s="16">
        <f t="shared" si="1"/>
        <v>0.5</v>
      </c>
      <c r="S19" s="11" t="s">
        <v>134</v>
      </c>
      <c r="T19" s="11" t="s">
        <v>135</v>
      </c>
      <c r="U19" s="11" t="s">
        <v>136</v>
      </c>
      <c r="V19" s="11" t="s">
        <v>137</v>
      </c>
      <c r="W19" s="11" t="s">
        <v>138</v>
      </c>
      <c r="X19" s="11" t="s">
        <v>88</v>
      </c>
    </row>
    <row r="20" spans="1:24" outlineLevel="1" x14ac:dyDescent="0.3">
      <c r="A20" s="10" t="s">
        <v>97</v>
      </c>
      <c r="B20" s="11" t="s">
        <v>139</v>
      </c>
      <c r="C20" s="11" t="s">
        <v>140</v>
      </c>
      <c r="D20" s="10" t="s">
        <v>50</v>
      </c>
      <c r="E20" s="10" t="s">
        <v>81</v>
      </c>
      <c r="F20" s="10" t="s">
        <v>133</v>
      </c>
      <c r="G20" s="12">
        <v>175</v>
      </c>
      <c r="H20" s="13">
        <v>37.4</v>
      </c>
      <c r="I20" s="12">
        <v>13</v>
      </c>
      <c r="J20" s="14">
        <v>2.8</v>
      </c>
      <c r="K20" s="14">
        <v>4.54</v>
      </c>
      <c r="L20" s="15">
        <v>0.17</v>
      </c>
      <c r="M20" s="15">
        <v>0.12</v>
      </c>
      <c r="N20" s="13">
        <v>2.2000000000000002</v>
      </c>
      <c r="O20" s="12">
        <v>4</v>
      </c>
      <c r="P20" s="10">
        <v>6</v>
      </c>
      <c r="Q20" s="10">
        <v>4</v>
      </c>
      <c r="R20" s="16">
        <f t="shared" si="1"/>
        <v>0.66666666666666663</v>
      </c>
      <c r="S20" s="11" t="s">
        <v>141</v>
      </c>
      <c r="T20" s="11" t="s">
        <v>142</v>
      </c>
      <c r="U20" s="11" t="s">
        <v>143</v>
      </c>
      <c r="V20" s="11" t="s">
        <v>144</v>
      </c>
      <c r="W20" s="11" t="s">
        <v>145</v>
      </c>
      <c r="X20" s="11" t="s">
        <v>88</v>
      </c>
    </row>
    <row r="21" spans="1:24" outlineLevel="1" x14ac:dyDescent="0.3">
      <c r="A21" s="10" t="s">
        <v>97</v>
      </c>
      <c r="B21" s="11" t="s">
        <v>146</v>
      </c>
      <c r="C21" s="11" t="s">
        <v>147</v>
      </c>
      <c r="D21" s="10" t="s">
        <v>50</v>
      </c>
      <c r="E21" s="10" t="s">
        <v>81</v>
      </c>
      <c r="F21" s="10" t="s">
        <v>133</v>
      </c>
      <c r="G21" s="12">
        <v>175</v>
      </c>
      <c r="H21" s="13">
        <v>37.4</v>
      </c>
      <c r="I21" s="12">
        <v>13</v>
      </c>
      <c r="J21" s="14">
        <v>2.8</v>
      </c>
      <c r="K21" s="14">
        <v>4.32</v>
      </c>
      <c r="L21" s="15">
        <v>0.26</v>
      </c>
      <c r="M21" s="15">
        <v>0.18</v>
      </c>
      <c r="N21" s="13">
        <v>1.7</v>
      </c>
      <c r="O21" s="12">
        <v>4</v>
      </c>
      <c r="P21" s="10">
        <v>7</v>
      </c>
      <c r="Q21" s="10">
        <v>2</v>
      </c>
      <c r="R21" s="16">
        <f t="shared" si="1"/>
        <v>0.2857142857142857</v>
      </c>
      <c r="S21" s="11" t="s">
        <v>148</v>
      </c>
      <c r="T21" s="11" t="s">
        <v>149</v>
      </c>
      <c r="U21" s="11" t="s">
        <v>150</v>
      </c>
      <c r="V21" s="11" t="s">
        <v>151</v>
      </c>
      <c r="W21" s="11" t="s">
        <v>152</v>
      </c>
      <c r="X21" s="11" t="s">
        <v>88</v>
      </c>
    </row>
    <row r="22" spans="1:24" ht="30" x14ac:dyDescent="0.3">
      <c r="A22" s="29" t="s">
        <v>153</v>
      </c>
      <c r="B22" s="30" t="s">
        <v>154</v>
      </c>
      <c r="C22" s="29" t="str">
        <f>COUNTIFS(X23:X30,"&lt;&gt;숨김*")&amp;"명"</f>
        <v>8명</v>
      </c>
      <c r="D22" s="29"/>
      <c r="E22" s="29"/>
      <c r="F22" s="29"/>
      <c r="G22" s="31">
        <f t="shared" ref="G22:N22" si="3">AVERAGEIFS(G23:G30,$X$23:$X$30,"&lt;&gt;숨김*")</f>
        <v>173.75</v>
      </c>
      <c r="H22" s="32">
        <f t="shared" si="3"/>
        <v>37.125000000000007</v>
      </c>
      <c r="I22" s="31">
        <f t="shared" si="3"/>
        <v>16</v>
      </c>
      <c r="J22" s="33">
        <f t="shared" si="3"/>
        <v>2.3824999999999998</v>
      </c>
      <c r="K22" s="33">
        <f t="shared" si="3"/>
        <v>4.32</v>
      </c>
      <c r="L22" s="34">
        <f t="shared" si="3"/>
        <v>0.17375000000000002</v>
      </c>
      <c r="M22" s="34">
        <f t="shared" si="3"/>
        <v>0.11625000000000001</v>
      </c>
      <c r="N22" s="32">
        <f t="shared" si="3"/>
        <v>6.5749999999999993</v>
      </c>
      <c r="O22" s="31"/>
      <c r="P22" s="29">
        <f>SUM(P23:P30)</f>
        <v>66</v>
      </c>
      <c r="Q22" s="29">
        <f>SUM(Q23:Q30)</f>
        <v>36</v>
      </c>
      <c r="R22" s="34">
        <f t="shared" si="1"/>
        <v>0.54545454545454541</v>
      </c>
      <c r="S22" s="30" t="s">
        <v>155</v>
      </c>
      <c r="T22" s="30"/>
      <c r="U22" s="30" t="s">
        <v>156</v>
      </c>
      <c r="V22" s="30"/>
      <c r="W22" s="30"/>
      <c r="X22" s="30"/>
    </row>
    <row r="23" spans="1:24" outlineLevel="1" x14ac:dyDescent="0.3">
      <c r="A23" s="10" t="s">
        <v>153</v>
      </c>
      <c r="B23" s="11" t="s">
        <v>157</v>
      </c>
      <c r="C23" s="11" t="s">
        <v>158</v>
      </c>
      <c r="D23" s="10" t="s">
        <v>32</v>
      </c>
      <c r="E23" s="10" t="s">
        <v>33</v>
      </c>
      <c r="F23" s="10" t="s">
        <v>110</v>
      </c>
      <c r="G23" s="12">
        <v>165</v>
      </c>
      <c r="H23" s="13">
        <v>37.4</v>
      </c>
      <c r="I23" s="12">
        <v>16</v>
      </c>
      <c r="J23" s="14">
        <v>2.2999999999999998</v>
      </c>
      <c r="K23" s="14">
        <v>4.32</v>
      </c>
      <c r="L23" s="15">
        <v>0.14000000000000001</v>
      </c>
      <c r="M23" s="15">
        <v>0.12</v>
      </c>
      <c r="N23" s="13">
        <v>8</v>
      </c>
      <c r="O23" s="12">
        <v>2</v>
      </c>
      <c r="P23" s="10">
        <v>11</v>
      </c>
      <c r="Q23" s="10">
        <v>6</v>
      </c>
      <c r="R23" s="16">
        <f t="shared" si="1"/>
        <v>0.54545454545454541</v>
      </c>
      <c r="S23" s="11" t="s">
        <v>159</v>
      </c>
      <c r="T23" s="11" t="s">
        <v>160</v>
      </c>
      <c r="U23" s="11" t="s">
        <v>161</v>
      </c>
      <c r="V23" s="11" t="s">
        <v>162</v>
      </c>
      <c r="W23" s="11" t="s">
        <v>163</v>
      </c>
      <c r="X23" s="11"/>
    </row>
    <row r="24" spans="1:24" ht="28.5" outlineLevel="1" x14ac:dyDescent="0.3">
      <c r="A24" s="10" t="s">
        <v>153</v>
      </c>
      <c r="B24" s="11" t="s">
        <v>164</v>
      </c>
      <c r="C24" s="11" t="s">
        <v>165</v>
      </c>
      <c r="D24" s="10" t="s">
        <v>32</v>
      </c>
      <c r="E24" s="10" t="s">
        <v>33</v>
      </c>
      <c r="F24" s="10" t="s">
        <v>125</v>
      </c>
      <c r="G24" s="12">
        <v>165</v>
      </c>
      <c r="H24" s="13">
        <v>35.200000000000003</v>
      </c>
      <c r="I24" s="12">
        <v>13</v>
      </c>
      <c r="J24" s="14">
        <v>2.8</v>
      </c>
      <c r="K24" s="14">
        <v>4.54</v>
      </c>
      <c r="L24" s="15">
        <v>0.17</v>
      </c>
      <c r="M24" s="15">
        <v>0.12</v>
      </c>
      <c r="N24" s="13">
        <v>7.3</v>
      </c>
      <c r="O24" s="12">
        <v>3</v>
      </c>
      <c r="P24" s="10">
        <v>8</v>
      </c>
      <c r="Q24" s="10">
        <v>4</v>
      </c>
      <c r="R24" s="16">
        <f t="shared" si="1"/>
        <v>0.5</v>
      </c>
      <c r="S24" s="11" t="s">
        <v>166</v>
      </c>
      <c r="T24" s="11" t="s">
        <v>167</v>
      </c>
      <c r="U24" s="11" t="s">
        <v>168</v>
      </c>
      <c r="V24" s="11" t="s">
        <v>169</v>
      </c>
      <c r="W24" s="11" t="s">
        <v>170</v>
      </c>
      <c r="X24" s="11"/>
    </row>
    <row r="25" spans="1:24" outlineLevel="1" x14ac:dyDescent="0.3">
      <c r="A25" s="10" t="s">
        <v>153</v>
      </c>
      <c r="B25" s="11" t="s">
        <v>171</v>
      </c>
      <c r="C25" s="11" t="s">
        <v>172</v>
      </c>
      <c r="D25" s="10" t="s">
        <v>32</v>
      </c>
      <c r="E25" s="10" t="s">
        <v>33</v>
      </c>
      <c r="F25" s="10" t="s">
        <v>34</v>
      </c>
      <c r="G25" s="12">
        <v>175</v>
      </c>
      <c r="H25" s="13">
        <v>35.200000000000003</v>
      </c>
      <c r="I25" s="12">
        <v>13</v>
      </c>
      <c r="J25" s="14">
        <v>2.8</v>
      </c>
      <c r="K25" s="14">
        <v>4.32</v>
      </c>
      <c r="L25" s="15">
        <v>0.14000000000000001</v>
      </c>
      <c r="M25" s="15">
        <v>0.09</v>
      </c>
      <c r="N25" s="13">
        <v>7.2</v>
      </c>
      <c r="O25" s="12">
        <v>4</v>
      </c>
      <c r="P25" s="10">
        <v>7</v>
      </c>
      <c r="Q25" s="10">
        <v>4</v>
      </c>
      <c r="R25" s="16">
        <f t="shared" si="1"/>
        <v>0.5714285714285714</v>
      </c>
      <c r="S25" s="11" t="s">
        <v>173</v>
      </c>
      <c r="T25" s="11" t="s">
        <v>174</v>
      </c>
      <c r="U25" s="11" t="s">
        <v>175</v>
      </c>
      <c r="V25" s="11" t="s">
        <v>176</v>
      </c>
      <c r="W25" s="11" t="s">
        <v>177</v>
      </c>
      <c r="X25" s="11"/>
    </row>
    <row r="26" spans="1:24" outlineLevel="1" x14ac:dyDescent="0.3">
      <c r="A26" s="10" t="s">
        <v>153</v>
      </c>
      <c r="B26" s="11" t="s">
        <v>178</v>
      </c>
      <c r="C26" s="11" t="s">
        <v>179</v>
      </c>
      <c r="D26" s="10" t="s">
        <v>50</v>
      </c>
      <c r="E26" s="10" t="s">
        <v>33</v>
      </c>
      <c r="F26" s="10" t="s">
        <v>110</v>
      </c>
      <c r="G26" s="12">
        <v>165</v>
      </c>
      <c r="H26" s="13">
        <v>39.6</v>
      </c>
      <c r="I26" s="12">
        <v>17</v>
      </c>
      <c r="J26" s="14">
        <v>2.2999999999999998</v>
      </c>
      <c r="K26" s="14">
        <v>4.32</v>
      </c>
      <c r="L26" s="15">
        <v>0.14000000000000001</v>
      </c>
      <c r="M26" s="15">
        <v>0.06</v>
      </c>
      <c r="N26" s="13">
        <v>7.2</v>
      </c>
      <c r="O26" s="12">
        <v>4</v>
      </c>
      <c r="P26" s="10">
        <v>8</v>
      </c>
      <c r="Q26" s="10">
        <v>4</v>
      </c>
      <c r="R26" s="16">
        <f t="shared" si="1"/>
        <v>0.5</v>
      </c>
      <c r="S26" s="11" t="s">
        <v>180</v>
      </c>
      <c r="T26" s="11" t="s">
        <v>181</v>
      </c>
      <c r="U26" s="11" t="s">
        <v>182</v>
      </c>
      <c r="V26" s="11" t="s">
        <v>183</v>
      </c>
      <c r="W26" s="11" t="s">
        <v>184</v>
      </c>
      <c r="X26" s="11"/>
    </row>
    <row r="27" spans="1:24" outlineLevel="1" x14ac:dyDescent="0.3">
      <c r="A27" s="10" t="s">
        <v>153</v>
      </c>
      <c r="B27" s="11" t="s">
        <v>185</v>
      </c>
      <c r="C27" s="11" t="s">
        <v>186</v>
      </c>
      <c r="D27" s="10" t="s">
        <v>32</v>
      </c>
      <c r="E27" s="10" t="s">
        <v>33</v>
      </c>
      <c r="F27" s="10" t="s">
        <v>125</v>
      </c>
      <c r="G27" s="12">
        <v>175</v>
      </c>
      <c r="H27" s="13">
        <v>35.200000000000003</v>
      </c>
      <c r="I27" s="12">
        <v>15</v>
      </c>
      <c r="J27" s="14">
        <v>2.2999999999999998</v>
      </c>
      <c r="K27" s="14">
        <v>4.0999999999999996</v>
      </c>
      <c r="L27" s="15">
        <v>0.14000000000000001</v>
      </c>
      <c r="M27" s="15">
        <v>0.12</v>
      </c>
      <c r="N27" s="13">
        <v>7.1</v>
      </c>
      <c r="O27" s="12">
        <v>1</v>
      </c>
      <c r="P27" s="10">
        <v>15</v>
      </c>
      <c r="Q27" s="10">
        <v>12</v>
      </c>
      <c r="R27" s="16">
        <f t="shared" si="1"/>
        <v>0.8</v>
      </c>
      <c r="S27" s="11" t="s">
        <v>187</v>
      </c>
      <c r="T27" s="11" t="s">
        <v>188</v>
      </c>
      <c r="U27" s="11" t="s">
        <v>189</v>
      </c>
      <c r="V27" s="11" t="s">
        <v>190</v>
      </c>
      <c r="W27" s="11" t="s">
        <v>191</v>
      </c>
      <c r="X27" s="11"/>
    </row>
    <row r="28" spans="1:24" outlineLevel="1" x14ac:dyDescent="0.3">
      <c r="A28" s="10" t="s">
        <v>153</v>
      </c>
      <c r="B28" s="11" t="s">
        <v>192</v>
      </c>
      <c r="C28" s="11" t="s">
        <v>193</v>
      </c>
      <c r="D28" s="10" t="s">
        <v>50</v>
      </c>
      <c r="E28" s="10" t="s">
        <v>33</v>
      </c>
      <c r="F28" s="10" t="s">
        <v>125</v>
      </c>
      <c r="G28" s="12">
        <v>185</v>
      </c>
      <c r="H28" s="13">
        <v>37.4</v>
      </c>
      <c r="I28" s="12">
        <v>20</v>
      </c>
      <c r="J28" s="14">
        <v>1.88</v>
      </c>
      <c r="K28" s="14">
        <v>4.0999999999999996</v>
      </c>
      <c r="L28" s="15">
        <v>0.2</v>
      </c>
      <c r="M28" s="15">
        <v>0.15</v>
      </c>
      <c r="N28" s="13">
        <v>7</v>
      </c>
      <c r="O28" s="12">
        <v>6</v>
      </c>
      <c r="P28" s="10">
        <v>2</v>
      </c>
      <c r="Q28" s="10">
        <v>2</v>
      </c>
      <c r="R28" s="16">
        <f t="shared" si="1"/>
        <v>1</v>
      </c>
      <c r="S28" s="11" t="s">
        <v>194</v>
      </c>
      <c r="T28" s="11" t="s">
        <v>195</v>
      </c>
      <c r="U28" s="11" t="s">
        <v>196</v>
      </c>
      <c r="V28" s="11" t="s">
        <v>197</v>
      </c>
      <c r="W28" s="11" t="s">
        <v>198</v>
      </c>
      <c r="X28" s="11"/>
    </row>
    <row r="29" spans="1:24" outlineLevel="1" x14ac:dyDescent="0.3">
      <c r="A29" s="10" t="s">
        <v>153</v>
      </c>
      <c r="B29" s="11" t="s">
        <v>199</v>
      </c>
      <c r="C29" s="11" t="s">
        <v>200</v>
      </c>
      <c r="D29" s="10" t="s">
        <v>50</v>
      </c>
      <c r="E29" s="10" t="s">
        <v>33</v>
      </c>
      <c r="F29" s="10" t="s">
        <v>34</v>
      </c>
      <c r="G29" s="12">
        <v>175</v>
      </c>
      <c r="H29" s="13">
        <v>37.4</v>
      </c>
      <c r="I29" s="12">
        <v>13</v>
      </c>
      <c r="J29" s="14">
        <v>2.8</v>
      </c>
      <c r="K29" s="14">
        <v>4.54</v>
      </c>
      <c r="L29" s="15">
        <v>0.17</v>
      </c>
      <c r="M29" s="15">
        <v>0.15</v>
      </c>
      <c r="N29" s="13">
        <v>7</v>
      </c>
      <c r="O29" s="12">
        <v>3</v>
      </c>
      <c r="P29" s="10">
        <v>9</v>
      </c>
      <c r="Q29" s="10">
        <v>3</v>
      </c>
      <c r="R29" s="16">
        <f t="shared" si="1"/>
        <v>0.33333333333333331</v>
      </c>
      <c r="S29" s="11" t="s">
        <v>201</v>
      </c>
      <c r="T29" s="11" t="s">
        <v>202</v>
      </c>
      <c r="U29" s="11" t="s">
        <v>203</v>
      </c>
      <c r="V29" s="11" t="s">
        <v>204</v>
      </c>
      <c r="W29" s="11" t="s">
        <v>205</v>
      </c>
      <c r="X29" s="11"/>
    </row>
    <row r="30" spans="1:24" ht="28.5" outlineLevel="1" x14ac:dyDescent="0.3">
      <c r="A30" s="10" t="s">
        <v>153</v>
      </c>
      <c r="B30" s="11" t="s">
        <v>206</v>
      </c>
      <c r="C30" s="11" t="s">
        <v>207</v>
      </c>
      <c r="D30" s="10" t="s">
        <v>208</v>
      </c>
      <c r="E30" s="10" t="s">
        <v>81</v>
      </c>
      <c r="F30" s="10" t="s">
        <v>82</v>
      </c>
      <c r="G30" s="12">
        <v>185</v>
      </c>
      <c r="H30" s="13">
        <v>39.6</v>
      </c>
      <c r="I30" s="12">
        <v>21</v>
      </c>
      <c r="J30" s="14">
        <v>1.88</v>
      </c>
      <c r="K30" s="14">
        <v>4.32</v>
      </c>
      <c r="L30" s="15">
        <v>0.28999999999999998</v>
      </c>
      <c r="M30" s="15">
        <v>0.12</v>
      </c>
      <c r="N30" s="13">
        <v>1.8</v>
      </c>
      <c r="O30" s="12">
        <v>6</v>
      </c>
      <c r="P30" s="10">
        <v>6</v>
      </c>
      <c r="Q30" s="10">
        <v>1</v>
      </c>
      <c r="R30" s="16">
        <f t="shared" si="1"/>
        <v>0.16666666666666666</v>
      </c>
      <c r="S30" s="11" t="s">
        <v>209</v>
      </c>
      <c r="T30" s="11" t="s">
        <v>210</v>
      </c>
      <c r="U30" s="11" t="s">
        <v>211</v>
      </c>
      <c r="V30" s="11" t="s">
        <v>212</v>
      </c>
      <c r="W30" s="11" t="s">
        <v>213</v>
      </c>
      <c r="X30" s="11" t="s">
        <v>214</v>
      </c>
    </row>
    <row r="32" spans="1:24" x14ac:dyDescent="0.3">
      <c r="A32" s="35" t="s">
        <v>215</v>
      </c>
    </row>
    <row r="33" spans="1:1" x14ac:dyDescent="0.3">
      <c r="A33" s="2" t="s">
        <v>216</v>
      </c>
    </row>
    <row r="34" spans="1:1" x14ac:dyDescent="0.3">
      <c r="A34" s="2" t="s">
        <v>217</v>
      </c>
    </row>
    <row r="35" spans="1:1" x14ac:dyDescent="0.3">
      <c r="A35" s="2" t="s">
        <v>218</v>
      </c>
    </row>
    <row r="36" spans="1:1" x14ac:dyDescent="0.3">
      <c r="A36" s="2" t="s">
        <v>219</v>
      </c>
    </row>
  </sheetData>
  <phoneticPr fontId="8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4" width="12" customWidth="1"/>
  </cols>
  <sheetData>
    <row r="1" spans="1:14" ht="18.75" x14ac:dyDescent="0.3">
      <c r="A1" s="1" t="s">
        <v>220</v>
      </c>
    </row>
    <row r="2" spans="1:14" x14ac:dyDescent="0.3">
      <c r="A2" s="2" t="s">
        <v>221</v>
      </c>
    </row>
    <row r="4" spans="1:14" x14ac:dyDescent="0.3">
      <c r="A4" s="3" t="s">
        <v>2</v>
      </c>
      <c r="B4" s="3" t="s">
        <v>222</v>
      </c>
      <c r="C4" s="3" t="s">
        <v>223</v>
      </c>
      <c r="D4" s="3" t="s">
        <v>224</v>
      </c>
      <c r="E4" s="3" t="s">
        <v>81</v>
      </c>
      <c r="F4" s="3" t="s">
        <v>58</v>
      </c>
      <c r="G4" s="3" t="s">
        <v>33</v>
      </c>
      <c r="H4" s="3" t="s">
        <v>225</v>
      </c>
      <c r="I4" s="3" t="s">
        <v>226</v>
      </c>
      <c r="J4" s="3" t="s">
        <v>227</v>
      </c>
      <c r="K4" s="3" t="s">
        <v>228</v>
      </c>
      <c r="L4" s="3" t="s">
        <v>229</v>
      </c>
      <c r="M4" s="3" t="s">
        <v>17</v>
      </c>
      <c r="N4" s="3" t="s">
        <v>18</v>
      </c>
    </row>
    <row r="5" spans="1:14" x14ac:dyDescent="0.3">
      <c r="A5" s="4" t="s">
        <v>26</v>
      </c>
      <c r="B5" s="36" t="s">
        <v>153</v>
      </c>
      <c r="C5" s="36" t="s">
        <v>97</v>
      </c>
      <c r="D5" s="36">
        <f>COUNTIFS(캐릭터!$A$5:$A$30,A5,캐릭터!$C$5:$C$30,"&lt;&gt;",캐릭터!$X$5:$X$30,"&lt;&gt;숨김*")-1</f>
        <v>7</v>
      </c>
      <c r="E5" s="36">
        <f>COUNTIFS(캐릭터!$A$5:$A$30,A5,캐릭터!$E$5:$E$30,"근거리",캐릭터!$X$5:$X$30,"&lt;&gt;숨김*")</f>
        <v>1</v>
      </c>
      <c r="F5" s="36">
        <f>COUNTIFS(캐릭터!$A$5:$A$30,A5,캐릭터!$E$5:$E$30,"중거리",캐릭터!$X$5:$X$30,"&lt;&gt;숨김*")</f>
        <v>3</v>
      </c>
      <c r="G5" s="36">
        <f>COUNTIFS(캐릭터!$A$5:$A$30,A5,캐릭터!$E$5:$E$30,"원거리",캐릭터!$X$5:$X$30,"&lt;&gt;숨김*")</f>
        <v>3</v>
      </c>
      <c r="H5" s="37">
        <f>AVERAGEIFS(캐릭터!$G$5:$G$30,캐릭터!$A$5:$A$30,A5,캐릭터!$E$5:$E$30,"?*",캐릭터!$X$5:$X$30,"&lt;&gt;숨김*")</f>
        <v>166.42857142857142</v>
      </c>
      <c r="I5" s="38">
        <f>AVERAGEIFS(캐릭터!$H$5:$H$30,캐릭터!$A$5:$A$30,A5,캐릭터!$E$5:$E$30,"?*",캐릭터!$X$5:$X$30,"&lt;&gt;숨김*")</f>
        <v>37.085714285714289</v>
      </c>
      <c r="J5" s="39">
        <f>AVERAGEIFS(캐릭터!$K$5:$K$30,캐릭터!$A$5:$A$30,A5,캐릭터!$E$5:$E$30,"?*",캐릭터!$X$5:$X$30,"&lt;&gt;숨김*")</f>
        <v>4.54</v>
      </c>
      <c r="K5" s="16">
        <f>AVERAGEIFS(캐릭터!$L$5:$L$30,캐릭터!$A$5:$A$30,A5,캐릭터!$E$5:$E$30,"?*",캐릭터!$X$5:$X$30,"&lt;&gt;숨김*")</f>
        <v>0.16999999999999998</v>
      </c>
      <c r="L5" s="16">
        <f>AVERAGEIFS(캐릭터!$M$5:$M$30,캐릭터!$A$5:$A$30,A5,캐릭터!$E$5:$E$30,"?*",캐릭터!$X$5:$X$30,"&lt;&gt;숨김*")</f>
        <v>0.12857142857142856</v>
      </c>
      <c r="M5" s="36">
        <f>SUMIFS(캐릭터!$P$5:$P$30,캐릭터!$A$5:$A$30,A5,캐릭터!$E$5:$E$30,"?*")</f>
        <v>61</v>
      </c>
      <c r="N5" s="36">
        <f>SUMIFS(캐릭터!$Q$5:$Q$30,캐릭터!$A$5:$A$30,A5,캐릭터!$E$5:$E$30,"?*")</f>
        <v>38</v>
      </c>
    </row>
    <row r="6" spans="1:14" x14ac:dyDescent="0.3">
      <c r="A6" s="23" t="s">
        <v>97</v>
      </c>
      <c r="B6" s="36" t="s">
        <v>26</v>
      </c>
      <c r="C6" s="36" t="s">
        <v>153</v>
      </c>
      <c r="D6" s="36">
        <f>COUNTIFS(캐릭터!$A$5:$A$30,A6,캐릭터!$C$5:$C$30,"&lt;&gt;",캐릭터!$X$5:$X$30,"&lt;&gt;숨김*")-1</f>
        <v>7</v>
      </c>
      <c r="E6" s="36">
        <f>COUNTIFS(캐릭터!$A$5:$A$30,A6,캐릭터!$E$5:$E$30,"근거리",캐릭터!$X$5:$X$30,"&lt;&gt;숨김*")</f>
        <v>3</v>
      </c>
      <c r="F6" s="36">
        <f>COUNTIFS(캐릭터!$A$5:$A$30,A6,캐릭터!$E$5:$E$30,"중거리",캐릭터!$X$5:$X$30,"&lt;&gt;숨김*")</f>
        <v>0</v>
      </c>
      <c r="G6" s="36">
        <f>COUNTIFS(캐릭터!$A$5:$A$30,A6,캐릭터!$E$5:$E$30,"원거리",캐릭터!$X$5:$X$30,"&lt;&gt;숨김*")</f>
        <v>4</v>
      </c>
      <c r="H6" s="37">
        <f>AVERAGEIFS(캐릭터!$G$5:$G$30,캐릭터!$A$5:$A$30,A6,캐릭터!$E$5:$E$30,"?*",캐릭터!$X$5:$X$30,"&lt;&gt;숨김*")</f>
        <v>173.57142857142858</v>
      </c>
      <c r="I6" s="38">
        <f>AVERAGEIFS(캐릭터!$H$5:$H$30,캐릭터!$A$5:$A$30,A6,캐릭터!$E$5:$E$30,"?*",캐릭터!$X$5:$X$30,"&lt;&gt;숨김*")</f>
        <v>36.771428571428565</v>
      </c>
      <c r="J6" s="39">
        <f>AVERAGEIFS(캐릭터!$K$5:$K$30,캐릭터!$A$5:$A$30,A6,캐릭터!$E$5:$E$30,"?*",캐릭터!$X$5:$X$30,"&lt;&gt;숨김*")</f>
        <v>4.3514285714285714</v>
      </c>
      <c r="K6" s="16">
        <f>AVERAGEIFS(캐릭터!$L$5:$L$30,캐릭터!$A$5:$A$30,A6,캐릭터!$E$5:$E$30,"?*",캐릭터!$X$5:$X$30,"&lt;&gt;숨김*")</f>
        <v>0.19571428571428573</v>
      </c>
      <c r="L6" s="16">
        <f>AVERAGEIFS(캐릭터!$M$5:$M$30,캐릭터!$A$5:$A$30,A6,캐릭터!$E$5:$E$30,"?*",캐릭터!$X$5:$X$30,"&lt;&gt;숨김*")</f>
        <v>0.17142857142857143</v>
      </c>
      <c r="M6" s="36">
        <f>SUMIFS(캐릭터!$P$5:$P$30,캐릭터!$A$5:$A$30,A6,캐릭터!$E$5:$E$30,"?*")</f>
        <v>57</v>
      </c>
      <c r="N6" s="36">
        <f>SUMIFS(캐릭터!$Q$5:$Q$30,캐릭터!$A$5:$A$30,A6,캐릭터!$E$5:$E$30,"?*")</f>
        <v>36</v>
      </c>
    </row>
    <row r="7" spans="1:14" x14ac:dyDescent="0.3">
      <c r="A7" s="29" t="s">
        <v>153</v>
      </c>
      <c r="B7" s="36" t="s">
        <v>97</v>
      </c>
      <c r="C7" s="36" t="s">
        <v>26</v>
      </c>
      <c r="D7" s="36">
        <f>COUNTIFS(캐릭터!$A$5:$A$30,A7,캐릭터!$C$5:$C$30,"&lt;&gt;",캐릭터!$X$5:$X$30,"&lt;&gt;숨김*")-1</f>
        <v>8</v>
      </c>
      <c r="E7" s="36">
        <f>COUNTIFS(캐릭터!$A$5:$A$30,A7,캐릭터!$E$5:$E$30,"근거리",캐릭터!$X$5:$X$30,"&lt;&gt;숨김*")</f>
        <v>1</v>
      </c>
      <c r="F7" s="36">
        <f>COUNTIFS(캐릭터!$A$5:$A$30,A7,캐릭터!$E$5:$E$30,"중거리",캐릭터!$X$5:$X$30,"&lt;&gt;숨김*")</f>
        <v>0</v>
      </c>
      <c r="G7" s="36">
        <f>COUNTIFS(캐릭터!$A$5:$A$30,A7,캐릭터!$E$5:$E$30,"원거리",캐릭터!$X$5:$X$30,"&lt;&gt;숨김*")</f>
        <v>7</v>
      </c>
      <c r="H7" s="37">
        <f>AVERAGEIFS(캐릭터!$G$5:$G$30,캐릭터!$A$5:$A$30,A7,캐릭터!$E$5:$E$30,"?*",캐릭터!$X$5:$X$30,"&lt;&gt;숨김*")</f>
        <v>173.75</v>
      </c>
      <c r="I7" s="38">
        <f>AVERAGEIFS(캐릭터!$H$5:$H$30,캐릭터!$A$5:$A$30,A7,캐릭터!$E$5:$E$30,"?*",캐릭터!$X$5:$X$30,"&lt;&gt;숨김*")</f>
        <v>37.125000000000007</v>
      </c>
      <c r="J7" s="39">
        <f>AVERAGEIFS(캐릭터!$K$5:$K$30,캐릭터!$A$5:$A$30,A7,캐릭터!$E$5:$E$30,"?*",캐릭터!$X$5:$X$30,"&lt;&gt;숨김*")</f>
        <v>4.32</v>
      </c>
      <c r="K7" s="16">
        <f>AVERAGEIFS(캐릭터!$L$5:$L$30,캐릭터!$A$5:$A$30,A7,캐릭터!$E$5:$E$30,"?*",캐릭터!$X$5:$X$30,"&lt;&gt;숨김*")</f>
        <v>0.17375000000000002</v>
      </c>
      <c r="L7" s="16">
        <f>AVERAGEIFS(캐릭터!$M$5:$M$30,캐릭터!$A$5:$A$30,A7,캐릭터!$E$5:$E$30,"?*",캐릭터!$X$5:$X$30,"&lt;&gt;숨김*")</f>
        <v>0.11625000000000001</v>
      </c>
      <c r="M7" s="36">
        <f>SUMIFS(캐릭터!$P$5:$P$30,캐릭터!$A$5:$A$30,A7,캐릭터!$E$5:$E$30,"?*")</f>
        <v>66</v>
      </c>
      <c r="N7" s="36">
        <f>SUMIFS(캐릭터!$Q$5:$Q$30,캐릭터!$A$5:$A$30,A7,캐릭터!$E$5:$E$30,"?*")</f>
        <v>36</v>
      </c>
    </row>
    <row r="8" spans="1:14" x14ac:dyDescent="0.3">
      <c r="A8" s="35" t="s">
        <v>230</v>
      </c>
      <c r="D8" s="40">
        <f>SUM(D5:D7)</f>
        <v>22</v>
      </c>
      <c r="E8" s="40">
        <f>SUM(E5:E7)</f>
        <v>5</v>
      </c>
      <c r="F8" s="40">
        <f>SUM(F5:F7)</f>
        <v>3</v>
      </c>
      <c r="G8" s="40">
        <f>SUM(G5:G7)</f>
        <v>14</v>
      </c>
      <c r="M8" s="40">
        <f>SUM(M5:M7)</f>
        <v>184</v>
      </c>
      <c r="N8" s="40">
        <f>SUM(N5:N7)</f>
        <v>110</v>
      </c>
    </row>
    <row r="10" spans="1:14" x14ac:dyDescent="0.3">
      <c r="A10" s="2" t="s">
        <v>231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캐릭터</vt:lpstr>
      <vt:lpstr>속성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inpiawon@nate.com</cp:lastModifiedBy>
  <dcterms:created xsi:type="dcterms:W3CDTF">2026-10-06T06:15:44Z</dcterms:created>
  <dcterms:modified xsi:type="dcterms:W3CDTF">2026-10-06T06:15:47Z</dcterms:modified>
</cp:coreProperties>
</file>